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" sheetId="1" r:id="rId5"/>
    <sheet state="visible" name="Attacks" sheetId="2" r:id="rId6"/>
    <sheet state="visible" name="Shield Saves" sheetId="3" r:id="rId7"/>
    <sheet state="visible" name="Re roll costs" sheetId="4" r:id="rId8"/>
    <sheet state="visible" name="Army Builder" sheetId="5" r:id="rId9"/>
  </sheets>
  <definedNames/>
  <calcPr/>
</workbook>
</file>

<file path=xl/sharedStrings.xml><?xml version="1.0" encoding="utf-8"?>
<sst xmlns="http://schemas.openxmlformats.org/spreadsheetml/2006/main" count="226" uniqueCount="86">
  <si>
    <t>Orc Light Infantry</t>
  </si>
  <si>
    <t>Movement</t>
  </si>
  <si>
    <t>Melee Ability</t>
  </si>
  <si>
    <t>Ranged Ability</t>
  </si>
  <si>
    <t>Defence</t>
  </si>
  <si>
    <t>Morale</t>
  </si>
  <si>
    <t>Wounds</t>
  </si>
  <si>
    <t>Mod</t>
  </si>
  <si>
    <t>Qty</t>
  </si>
  <si>
    <t>Name</t>
  </si>
  <si>
    <t>Range</t>
  </si>
  <si>
    <t># of attacks</t>
  </si>
  <si>
    <t>Damage</t>
  </si>
  <si>
    <t>Armour Piercing</t>
  </si>
  <si>
    <t>Pts Cost</t>
  </si>
  <si>
    <t>Total</t>
  </si>
  <si>
    <t>Orcish Swords</t>
  </si>
  <si>
    <t>Melee</t>
  </si>
  <si>
    <t>-</t>
  </si>
  <si>
    <t>Re Roll One Failed Attack Die</t>
  </si>
  <si>
    <t>Evil, Orcs, Infantry</t>
  </si>
  <si>
    <t>Base Size: 40mm x 20mm</t>
  </si>
  <si>
    <t>Orc Heavy Infantry</t>
  </si>
  <si>
    <t>For Every "0" In The Original Attack Roll You May Reroll One Failed Attack Roll.</t>
  </si>
  <si>
    <t>Armoured</t>
  </si>
  <si>
    <t>Reroll One Failed Defence Die</t>
  </si>
  <si>
    <t>Orc Axes</t>
  </si>
  <si>
    <t>Orcish Axes</t>
  </si>
  <si>
    <t>For Every "0" In The Original Attack Roll The Defender Must Reroll One Successful Defence Die.</t>
  </si>
  <si>
    <t>Spear Orcs</t>
  </si>
  <si>
    <t>Orcish Spears</t>
  </si>
  <si>
    <t xml:space="preserve"> +1 to the number of attacks for each base directly behind the front rank.</t>
  </si>
  <si>
    <t>Attacking units lose all charging bonuses when charging this units front.</t>
  </si>
  <si>
    <t>Orc Archers</t>
  </si>
  <si>
    <t>Orcish Bow</t>
  </si>
  <si>
    <t>10"/20"</t>
  </si>
  <si>
    <t xml:space="preserve"> +1 to the number of attacks for every other base beyond the front rank.</t>
  </si>
  <si>
    <t>Orcish Knife</t>
  </si>
  <si>
    <t>Evil, Orcs, Infantry, Ranged</t>
  </si>
  <si>
    <t>Orc Warg Rider Skirmishers</t>
  </si>
  <si>
    <t>Orcish Sword</t>
  </si>
  <si>
    <t>Evil, Orcs, Cavalry, Ranged</t>
  </si>
  <si>
    <t>Base Size: 20mm x 40mm</t>
  </si>
  <si>
    <t>Attack</t>
  </si>
  <si>
    <t>Attacks</t>
  </si>
  <si>
    <t>Def Mod</t>
  </si>
  <si>
    <t>Cost</t>
  </si>
  <si>
    <t>Orcish Bows</t>
  </si>
  <si>
    <t>Orcish Knives</t>
  </si>
  <si>
    <t>Shield Save Roll (d10)</t>
  </si>
  <si>
    <t>Success %</t>
  </si>
  <si>
    <t>Equivalent Def Bonus</t>
  </si>
  <si>
    <t>Base Point Cost</t>
  </si>
  <si>
    <t>8+</t>
  </si>
  <si>
    <t>~ +1.5 Def</t>
  </si>
  <si>
    <t>4.5 Points</t>
  </si>
  <si>
    <t>7+</t>
  </si>
  <si>
    <t>~ +2.0 Def</t>
  </si>
  <si>
    <t>6.0 Points</t>
  </si>
  <si>
    <t>6+</t>
  </si>
  <si>
    <t>~ +3.0 Def</t>
  </si>
  <si>
    <t>9.0 Points</t>
  </si>
  <si>
    <t>5+</t>
  </si>
  <si>
    <t>~ +4.0 Def</t>
  </si>
  <si>
    <t>12.0 Points</t>
  </si>
  <si>
    <t>Re-roll Type</t>
  </si>
  <si>
    <t>Multiplier</t>
  </si>
  <si>
    <t>Calculation (Multiplier ×2)</t>
  </si>
  <si>
    <t>Base Value</t>
  </si>
  <si>
    <t xml:space="preserve">Melee </t>
  </si>
  <si>
    <t>1.0\times</t>
  </si>
  <si>
    <t>1.0 \times 2</t>
  </si>
  <si>
    <t>2 Points</t>
  </si>
  <si>
    <t>Ranged</t>
  </si>
  <si>
    <t>1.5\times</t>
  </si>
  <si>
    <t>1.5 \times 2</t>
  </si>
  <si>
    <t>3 Points</t>
  </si>
  <si>
    <t>3.0\times</t>
  </si>
  <si>
    <t>3.0 \times 2</t>
  </si>
  <si>
    <t>6 Points</t>
  </si>
  <si>
    <t>Shield Save</t>
  </si>
  <si>
    <t>4.5\times</t>
  </si>
  <si>
    <t>4.5 \times 2</t>
  </si>
  <si>
    <t>9 Points</t>
  </si>
  <si>
    <t>Total Cost</t>
  </si>
  <si>
    <t>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</si>
</sst>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i/>
      <color theme="1"/>
      <name val="Arial"/>
    </font>
    <font>
      <i/>
      <color theme="1"/>
      <name val="Arial"/>
    </font>
    <font>
      <b/>
      <i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2" fillId="4" fontId="3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horizontal="center" readingOrder="0" shrinkToFit="0" vertical="center" wrapText="1"/>
    </xf>
    <xf borderId="5" fillId="4" fontId="2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2" fillId="4" fontId="2" numFmtId="164" xfId="0" applyAlignment="1" applyBorder="1" applyFont="1" applyNumberFormat="1">
      <alignment horizontal="center" readingOrder="0" vertical="center"/>
    </xf>
    <xf borderId="13" fillId="4" fontId="2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4" fillId="0" fontId="5" numFmtId="1" xfId="0" applyAlignment="1" applyBorder="1" applyFont="1" applyNumberFormat="1">
      <alignment horizontal="center"/>
    </xf>
    <xf borderId="15" fillId="0" fontId="5" numFmtId="1" xfId="0" applyAlignment="1" applyBorder="1" applyFont="1" applyNumberFormat="1">
      <alignment horizontal="center"/>
    </xf>
    <xf borderId="12" fillId="0" fontId="5" numFmtId="1" xfId="0" applyAlignment="1" applyBorder="1" applyFont="1" applyNumberFormat="1">
      <alignment horizontal="center"/>
    </xf>
    <xf borderId="12" fillId="4" fontId="5" numFmtId="1" xfId="0" applyAlignment="1" applyBorder="1" applyFont="1" applyNumberFormat="1">
      <alignment horizontal="center"/>
    </xf>
    <xf borderId="13" fillId="4" fontId="5" numFmtId="1" xfId="0" applyAlignment="1" applyBorder="1" applyFont="1" applyNumberFormat="1">
      <alignment horizontal="center"/>
    </xf>
    <xf borderId="0" fillId="0" fontId="5" numFmtId="1" xfId="0" applyFont="1" applyNumberFormat="1"/>
    <xf borderId="14" fillId="3" fontId="1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3" fillId="4" fontId="1" numFmtId="0" xfId="0" applyAlignment="1" applyBorder="1" applyFon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readingOrder="0" shrinkToFit="0" wrapText="1"/>
    </xf>
    <xf borderId="8" fillId="0" fontId="4" numFmtId="0" xfId="0" applyBorder="1" applyFont="1"/>
    <xf borderId="5" fillId="5" fontId="6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readingOrder="0"/>
    </xf>
    <xf borderId="0" fillId="0" fontId="5" numFmtId="0" xfId="0" applyFont="1"/>
    <xf borderId="0" fillId="0" fontId="5" numFmtId="0" xfId="0" applyFont="1"/>
    <xf borderId="7" fillId="0" fontId="4" numFmtId="0" xfId="0" applyBorder="1" applyFont="1"/>
    <xf borderId="7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7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0" fillId="4" fontId="5" numFmtId="0" xfId="0" applyAlignment="1" applyFont="1">
      <alignment horizontal="center" readingOrder="0" vertical="center"/>
    </xf>
    <xf borderId="10" fillId="4" fontId="5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4" fontId="5" numFmtId="0" xfId="0" applyAlignment="1" applyBorder="1" applyFont="1">
      <alignment horizontal="center" readingOrder="0" shrinkToFit="0" vertical="center" wrapText="1"/>
    </xf>
    <xf borderId="10" fillId="4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wrapText="1"/>
    </xf>
    <xf borderId="15" fillId="4" fontId="5" numFmtId="164" xfId="0" applyBorder="1" applyFont="1" applyNumberFormat="1"/>
    <xf borderId="13" fillId="4" fontId="5" numFmtId="1" xfId="0" applyBorder="1" applyFont="1" applyNumberFormat="1"/>
    <xf borderId="1" fillId="5" fontId="8" numFmtId="0" xfId="0" applyAlignment="1" applyBorder="1" applyFont="1">
      <alignment horizontal="center" readingOrder="0" shrinkToFit="0" vertical="center" wrapText="1"/>
    </xf>
    <xf borderId="4" fillId="5" fontId="1" numFmtId="1" xfId="0" applyAlignment="1" applyBorder="1" applyFont="1" applyNumberFormat="1">
      <alignment horizontal="center" shrinkToFit="0" vertical="center" wrapText="1"/>
    </xf>
    <xf borderId="4" fillId="4" fontId="1" numFmtId="164" xfId="0" applyAlignment="1" applyBorder="1" applyFont="1" applyNumberFormat="1">
      <alignment horizontal="center" readingOrder="0" shrinkToFit="0" vertical="center" wrapText="1"/>
    </xf>
    <xf borderId="13" fillId="4" fontId="1" numFmtId="1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9" fillId="0" fontId="4" numFmtId="0" xfId="0" applyBorder="1" applyFont="1"/>
    <xf borderId="1" fillId="4" fontId="3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shrinkToFit="0" wrapText="1"/>
    </xf>
    <xf borderId="7" fillId="4" fontId="5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readingOrder="0" shrinkToFit="0" wrapText="1"/>
    </xf>
    <xf borderId="14" fillId="4" fontId="5" numFmtId="164" xfId="0" applyBorder="1" applyFont="1" applyNumberFormat="1"/>
    <xf borderId="14" fillId="5" fontId="8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13" fillId="4" fontId="1" numFmtId="164" xfId="0" applyAlignment="1" applyBorder="1" applyFont="1" applyNumberFormat="1">
      <alignment horizontal="center" readingOrder="0" shrinkToFit="0" vertical="center" wrapText="1"/>
    </xf>
    <xf borderId="15" fillId="3" fontId="6" numFmtId="0" xfId="0" applyAlignment="1" applyBorder="1" applyFont="1">
      <alignment horizontal="center" readingOrder="0" shrinkToFit="0" wrapText="1"/>
    </xf>
    <xf borderId="15" fillId="3" fontId="6" numFmtId="0" xfId="0" applyAlignment="1" applyBorder="1" applyFont="1">
      <alignment horizontal="center" shrinkToFit="0" wrapText="1"/>
    </xf>
    <xf borderId="11" fillId="4" fontId="6" numFmtId="0" xfId="0" applyAlignment="1" applyBorder="1" applyFont="1">
      <alignment horizontal="center" shrinkToFit="0" wrapText="1"/>
    </xf>
    <xf borderId="10" fillId="4" fontId="6" numFmtId="0" xfId="0" applyAlignment="1" applyBorder="1" applyFont="1">
      <alignment readingOrder="0"/>
    </xf>
    <xf borderId="4" fillId="5" fontId="6" numFmtId="0" xfId="0" applyAlignment="1" applyBorder="1" applyFont="1">
      <alignment horizontal="center" shrinkToFit="0" wrapText="1"/>
    </xf>
    <xf borderId="8" fillId="4" fontId="5" numFmtId="0" xfId="0" applyAlignment="1" applyBorder="1" applyFont="1">
      <alignment horizontal="center" readingOrder="0" shrinkToFit="0" vertical="center" wrapText="1"/>
    </xf>
    <xf borderId="10" fillId="4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  <xf borderId="15" fillId="0" fontId="5" numFmtId="49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vertical="center"/>
    </xf>
    <xf borderId="13" fillId="4" fontId="5" numFmtId="164" xfId="0" applyBorder="1" applyFont="1" applyNumberFormat="1"/>
    <xf borderId="12" fillId="4" fontId="5" numFmtId="1" xfId="0" applyBorder="1" applyFont="1" applyNumberFormat="1"/>
    <xf borderId="12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4" fillId="4" fontId="1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" numFmtId="0" xfId="0" applyFont="1"/>
    <xf borderId="0" fillId="0" fontId="10" numFmtId="9" xfId="0" applyAlignment="1" applyFont="1" applyNumberFormat="1">
      <alignment horizontal="right" readingOrder="0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3" fontId="1" numFmtId="0" xfId="0" applyAlignment="1" applyFont="1">
      <alignment readingOrder="0"/>
    </xf>
    <xf borderId="0" fillId="5" fontId="1" numFmtId="1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63"/>
    <col customWidth="1" min="2" max="6" width="16.13"/>
    <col customWidth="1" min="7" max="8" width="7.75"/>
    <col customWidth="1" min="9" max="9" width="3.38"/>
    <col customWidth="1" min="10" max="10" width="14.88"/>
    <col customWidth="1" min="12" max="12" width="2.88"/>
    <col customWidth="1" min="13" max="13" width="14.13"/>
    <col customWidth="1" min="15" max="15" width="2.88"/>
    <col customWidth="1" min="16" max="16" width="14.1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10" t="s">
        <v>8</v>
      </c>
      <c r="I3" s="1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>
        <v>7.0</v>
      </c>
      <c r="B4" s="13">
        <v>4.0</v>
      </c>
      <c r="C4" s="13">
        <v>10.0</v>
      </c>
      <c r="D4" s="13">
        <v>6.0</v>
      </c>
      <c r="E4" s="14">
        <v>6.0</v>
      </c>
      <c r="F4" s="15">
        <v>2.0</v>
      </c>
      <c r="G4" s="16"/>
      <c r="H4" s="16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f>A4</f>
        <v>7</v>
      </c>
      <c r="B5" s="20">
        <f t="shared" ref="B5:E5" si="1">10-B4</f>
        <v>6</v>
      </c>
      <c r="C5" s="20">
        <f t="shared" si="1"/>
        <v>0</v>
      </c>
      <c r="D5" s="20">
        <f t="shared" si="1"/>
        <v>4</v>
      </c>
      <c r="E5" s="21">
        <f t="shared" si="1"/>
        <v>4</v>
      </c>
      <c r="F5" s="22">
        <f>F4</f>
        <v>2</v>
      </c>
      <c r="G5" s="23"/>
      <c r="H5" s="24"/>
      <c r="I5" s="25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>
        <f>A5*G6</f>
        <v>7</v>
      </c>
      <c r="B6" s="28">
        <f>B5*G6</f>
        <v>6</v>
      </c>
      <c r="C6" s="28">
        <f>C5*G6</f>
        <v>0</v>
      </c>
      <c r="D6" s="28">
        <f>D5*G6</f>
        <v>4</v>
      </c>
      <c r="E6" s="28">
        <f>E5*G6</f>
        <v>4</v>
      </c>
      <c r="F6" s="29">
        <f>F5*G6</f>
        <v>2</v>
      </c>
      <c r="G6" s="30">
        <v>1.0</v>
      </c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>
        <f>A6*2</f>
        <v>14</v>
      </c>
      <c r="B7" s="34">
        <f>B6*1</f>
        <v>6</v>
      </c>
      <c r="C7" s="34">
        <f>C6*1.5</f>
        <v>0</v>
      </c>
      <c r="D7" s="34">
        <f>D6*4</f>
        <v>16</v>
      </c>
      <c r="E7" s="34">
        <f>E6*2</f>
        <v>8</v>
      </c>
      <c r="F7" s="35">
        <f>F6*5</f>
        <v>10</v>
      </c>
      <c r="G7" s="36">
        <f>sum(A7:F7)</f>
        <v>54</v>
      </c>
      <c r="H7" s="37">
        <v>9.0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/>
      <c r="B8" s="40"/>
      <c r="C8" s="40"/>
      <c r="D8" s="40"/>
      <c r="E8" s="40"/>
      <c r="F8" s="40"/>
      <c r="G8" s="41"/>
      <c r="H8" s="42"/>
      <c r="I8" s="1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3" t="s">
        <v>9</v>
      </c>
      <c r="B9" s="44"/>
      <c r="C9" s="45" t="s">
        <v>10</v>
      </c>
      <c r="D9" s="45" t="s">
        <v>11</v>
      </c>
      <c r="E9" s="45" t="s">
        <v>12</v>
      </c>
      <c r="F9" s="45" t="s">
        <v>13</v>
      </c>
      <c r="G9" s="46" t="s">
        <v>14</v>
      </c>
      <c r="H9" s="47" t="s">
        <v>15</v>
      </c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8"/>
    </row>
    <row r="10">
      <c r="A10" s="12" t="s">
        <v>16</v>
      </c>
      <c r="B10" s="50"/>
      <c r="C10" s="51" t="s">
        <v>17</v>
      </c>
      <c r="D10" s="51">
        <v>4.0</v>
      </c>
      <c r="E10" s="51">
        <v>1.0</v>
      </c>
      <c r="F10" s="52" t="s">
        <v>18</v>
      </c>
      <c r="G10" s="53">
        <v>11.0</v>
      </c>
      <c r="H10" s="54"/>
      <c r="I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5"/>
      <c r="B11" s="40"/>
      <c r="C11" s="56" t="s">
        <v>19</v>
      </c>
      <c r="D11" s="40"/>
      <c r="E11" s="40"/>
      <c r="F11" s="57"/>
      <c r="G11" s="58">
        <v>8.0</v>
      </c>
      <c r="H11" s="59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0"/>
      <c r="B12" s="61"/>
      <c r="G12" s="62"/>
      <c r="H12" s="63"/>
      <c r="I12" s="1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4"/>
      <c r="B13" s="64"/>
      <c r="C13" s="64"/>
      <c r="D13" s="65"/>
      <c r="E13" s="17"/>
      <c r="F13" s="17"/>
      <c r="G13" s="62"/>
      <c r="H13" s="6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66" t="s">
        <v>20</v>
      </c>
      <c r="B14" s="4"/>
      <c r="C14" s="4"/>
      <c r="D14" s="4"/>
      <c r="E14" s="4"/>
      <c r="F14" s="5"/>
      <c r="G14" s="67"/>
      <c r="H14" s="68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69" t="s">
        <v>21</v>
      </c>
      <c r="B15" s="4"/>
      <c r="C15" s="4"/>
      <c r="D15" s="5"/>
      <c r="E15" s="9" t="s">
        <v>15</v>
      </c>
      <c r="F15" s="70">
        <f>sum((G7+G11+G10+G12+G13)*G15)</f>
        <v>73</v>
      </c>
      <c r="G15" s="71">
        <v>1.0</v>
      </c>
      <c r="H15" s="72">
        <f>F15*H7</f>
        <v>657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22</v>
      </c>
      <c r="B17" s="4"/>
      <c r="C17" s="4"/>
      <c r="D17" s="4"/>
      <c r="E17" s="4"/>
      <c r="F17" s="5"/>
      <c r="G17" s="6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</v>
      </c>
      <c r="B18" s="9" t="s">
        <v>2</v>
      </c>
      <c r="C18" s="9" t="s">
        <v>3</v>
      </c>
      <c r="D18" s="9" t="s">
        <v>4</v>
      </c>
      <c r="E18" s="9" t="s">
        <v>5</v>
      </c>
      <c r="F18" s="9" t="s">
        <v>6</v>
      </c>
      <c r="G18" s="10" t="s">
        <v>7</v>
      </c>
      <c r="H18" s="10" t="s">
        <v>8</v>
      </c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>
        <v>6.0</v>
      </c>
      <c r="B19" s="13">
        <v>4.0</v>
      </c>
      <c r="C19" s="13">
        <v>10.0</v>
      </c>
      <c r="D19" s="13">
        <v>5.0</v>
      </c>
      <c r="E19" s="14">
        <v>5.0</v>
      </c>
      <c r="F19" s="15">
        <v>2.0</v>
      </c>
      <c r="G19" s="16"/>
      <c r="H19" s="16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>
        <f>A19</f>
        <v>6</v>
      </c>
      <c r="B20" s="20">
        <f t="shared" ref="B20:E20" si="2">10-B19</f>
        <v>6</v>
      </c>
      <c r="C20" s="20">
        <f t="shared" si="2"/>
        <v>0</v>
      </c>
      <c r="D20" s="20">
        <f t="shared" si="2"/>
        <v>5</v>
      </c>
      <c r="E20" s="21">
        <f t="shared" si="2"/>
        <v>5</v>
      </c>
      <c r="F20" s="22">
        <f>F19</f>
        <v>2</v>
      </c>
      <c r="G20" s="23"/>
      <c r="H20" s="24"/>
      <c r="I20" s="2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>
        <f>A20*G21</f>
        <v>6</v>
      </c>
      <c r="B21" s="28">
        <f>B20*G21</f>
        <v>6</v>
      </c>
      <c r="C21" s="28">
        <f>C20*G21</f>
        <v>0</v>
      </c>
      <c r="D21" s="28">
        <f>D20*G21</f>
        <v>5</v>
      </c>
      <c r="E21" s="28">
        <f>E20*G21</f>
        <v>5</v>
      </c>
      <c r="F21" s="29">
        <f>F20*G21</f>
        <v>2</v>
      </c>
      <c r="G21" s="30">
        <v>1.0</v>
      </c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>
        <f>A21*2</f>
        <v>12</v>
      </c>
      <c r="B22" s="34">
        <f>B21*1</f>
        <v>6</v>
      </c>
      <c r="C22" s="34">
        <f>C21*1.5</f>
        <v>0</v>
      </c>
      <c r="D22" s="34">
        <f>D21*4</f>
        <v>20</v>
      </c>
      <c r="E22" s="34">
        <f>E21*2</f>
        <v>10</v>
      </c>
      <c r="F22" s="35">
        <f>F21*5</f>
        <v>10</v>
      </c>
      <c r="G22" s="36">
        <f>sum(A22:F22)</f>
        <v>58</v>
      </c>
      <c r="H22" s="37">
        <v>9.0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9"/>
      <c r="B23" s="40"/>
      <c r="C23" s="40"/>
      <c r="D23" s="40"/>
      <c r="E23" s="40"/>
      <c r="F23" s="40"/>
      <c r="G23" s="41"/>
      <c r="H23" s="42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3" t="s">
        <v>9</v>
      </c>
      <c r="B24" s="44"/>
      <c r="C24" s="45" t="s">
        <v>10</v>
      </c>
      <c r="D24" s="45" t="s">
        <v>11</v>
      </c>
      <c r="E24" s="45" t="s">
        <v>12</v>
      </c>
      <c r="F24" s="45" t="s">
        <v>13</v>
      </c>
      <c r="G24" s="46" t="s">
        <v>14</v>
      </c>
      <c r="H24" s="47" t="s">
        <v>15</v>
      </c>
      <c r="I24" s="48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8"/>
    </row>
    <row r="25">
      <c r="A25" s="12" t="s">
        <v>16</v>
      </c>
      <c r="B25" s="50"/>
      <c r="C25" s="51" t="s">
        <v>17</v>
      </c>
      <c r="D25" s="51">
        <v>4.0</v>
      </c>
      <c r="E25" s="51">
        <v>1.0</v>
      </c>
      <c r="F25" s="52" t="s">
        <v>18</v>
      </c>
      <c r="G25" s="53">
        <v>11.0</v>
      </c>
      <c r="H25" s="54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5"/>
      <c r="B26" s="40"/>
      <c r="C26" s="56" t="s">
        <v>23</v>
      </c>
      <c r="D26" s="40"/>
      <c r="E26" s="40"/>
      <c r="F26" s="57"/>
      <c r="G26" s="58">
        <v>2.0</v>
      </c>
      <c r="H26" s="59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3" t="s">
        <v>24</v>
      </c>
      <c r="B27" s="4"/>
      <c r="C27" s="74" t="s">
        <v>25</v>
      </c>
      <c r="D27" s="4"/>
      <c r="E27" s="4"/>
      <c r="F27" s="5"/>
      <c r="G27" s="62">
        <v>3.0</v>
      </c>
      <c r="H27" s="63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4"/>
      <c r="B28" s="64"/>
      <c r="C28" s="64"/>
      <c r="D28" s="65"/>
      <c r="E28" s="17"/>
      <c r="F28" s="17"/>
      <c r="G28" s="62"/>
      <c r="H28" s="63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66" t="s">
        <v>20</v>
      </c>
      <c r="B29" s="4"/>
      <c r="C29" s="4"/>
      <c r="D29" s="4"/>
      <c r="E29" s="4"/>
      <c r="F29" s="5"/>
      <c r="G29" s="67"/>
      <c r="H29" s="68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69" t="s">
        <v>21</v>
      </c>
      <c r="B30" s="4"/>
      <c r="C30" s="4"/>
      <c r="D30" s="5"/>
      <c r="E30" s="9" t="s">
        <v>15</v>
      </c>
      <c r="F30" s="70">
        <f>sum((G22+G26+G25+G27+G28)*G30)</f>
        <v>74</v>
      </c>
      <c r="G30" s="71">
        <v>1.0</v>
      </c>
      <c r="H30" s="72">
        <f>F30*H22</f>
        <v>666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26</v>
      </c>
      <c r="B32" s="4"/>
      <c r="C32" s="4"/>
      <c r="D32" s="4"/>
      <c r="E32" s="4"/>
      <c r="F32" s="5"/>
      <c r="G32" s="6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1</v>
      </c>
      <c r="B33" s="9" t="s">
        <v>2</v>
      </c>
      <c r="C33" s="9" t="s">
        <v>3</v>
      </c>
      <c r="D33" s="9" t="s">
        <v>4</v>
      </c>
      <c r="E33" s="75" t="s">
        <v>5</v>
      </c>
      <c r="F33" s="9" t="s">
        <v>6</v>
      </c>
      <c r="G33" s="10" t="s">
        <v>7</v>
      </c>
      <c r="H33" s="10" t="s">
        <v>8</v>
      </c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>
        <v>7.0</v>
      </c>
      <c r="B34" s="13">
        <v>4.0</v>
      </c>
      <c r="C34" s="13">
        <v>10.0</v>
      </c>
      <c r="D34" s="13">
        <v>6.0</v>
      </c>
      <c r="E34" s="14">
        <v>5.0</v>
      </c>
      <c r="F34" s="15">
        <v>2.0</v>
      </c>
      <c r="G34" s="16"/>
      <c r="H34" s="16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>
        <f>A34</f>
        <v>7</v>
      </c>
      <c r="B35" s="20">
        <f t="shared" ref="B35:E35" si="3">10-B34</f>
        <v>6</v>
      </c>
      <c r="C35" s="20">
        <f t="shared" si="3"/>
        <v>0</v>
      </c>
      <c r="D35" s="20">
        <f t="shared" si="3"/>
        <v>4</v>
      </c>
      <c r="E35" s="21">
        <f t="shared" si="3"/>
        <v>5</v>
      </c>
      <c r="F35" s="22">
        <f>F34</f>
        <v>2</v>
      </c>
      <c r="G35" s="23"/>
      <c r="H35" s="24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7">
        <f>A35*G36</f>
        <v>7</v>
      </c>
      <c r="B36" s="28">
        <f>B35*G36</f>
        <v>6</v>
      </c>
      <c r="C36" s="28">
        <f>C35*G36</f>
        <v>0</v>
      </c>
      <c r="D36" s="28">
        <f>D35*G36</f>
        <v>4</v>
      </c>
      <c r="E36" s="28">
        <f>E35*G36</f>
        <v>5</v>
      </c>
      <c r="F36" s="29">
        <f>F35*G36</f>
        <v>2</v>
      </c>
      <c r="G36" s="30">
        <v>1.0</v>
      </c>
      <c r="H36" s="31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>
        <f>A36*2</f>
        <v>14</v>
      </c>
      <c r="B37" s="34">
        <f>B36*1</f>
        <v>6</v>
      </c>
      <c r="C37" s="34">
        <f>C36*1.5</f>
        <v>0</v>
      </c>
      <c r="D37" s="34">
        <f>D36*4</f>
        <v>16</v>
      </c>
      <c r="E37" s="34">
        <f>E36*2</f>
        <v>10</v>
      </c>
      <c r="F37" s="35">
        <f>F36*5</f>
        <v>10</v>
      </c>
      <c r="G37" s="36">
        <f>sum(A37:F37)</f>
        <v>56</v>
      </c>
      <c r="H37" s="37">
        <v>9.0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9"/>
      <c r="B38" s="40"/>
      <c r="C38" s="40"/>
      <c r="D38" s="40"/>
      <c r="E38" s="40"/>
      <c r="F38" s="40"/>
      <c r="G38" s="41"/>
      <c r="H38" s="42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3" t="s">
        <v>9</v>
      </c>
      <c r="B39" s="44"/>
      <c r="C39" s="45" t="s">
        <v>10</v>
      </c>
      <c r="D39" s="45" t="s">
        <v>11</v>
      </c>
      <c r="E39" s="45" t="s">
        <v>12</v>
      </c>
      <c r="F39" s="45" t="s">
        <v>13</v>
      </c>
      <c r="G39" s="46" t="s">
        <v>14</v>
      </c>
      <c r="H39" s="47" t="s">
        <v>15</v>
      </c>
      <c r="I39" s="48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8"/>
    </row>
    <row r="40">
      <c r="A40" s="76" t="s">
        <v>27</v>
      </c>
      <c r="B40" s="50"/>
      <c r="C40" s="51" t="s">
        <v>17</v>
      </c>
      <c r="D40" s="51">
        <v>2.0</v>
      </c>
      <c r="E40" s="51">
        <v>1.0</v>
      </c>
      <c r="F40" s="52">
        <v>2.0</v>
      </c>
      <c r="G40" s="53">
        <v>15.0</v>
      </c>
      <c r="H40" s="54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5"/>
      <c r="B41" s="40"/>
      <c r="C41" s="77" t="s">
        <v>28</v>
      </c>
      <c r="F41" s="78"/>
      <c r="G41" s="58">
        <v>6.0</v>
      </c>
      <c r="H41" s="59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3"/>
      <c r="B42" s="4"/>
      <c r="C42" s="74"/>
      <c r="D42" s="4"/>
      <c r="E42" s="4"/>
      <c r="F42" s="5"/>
      <c r="G42" s="62"/>
      <c r="H42" s="63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4"/>
      <c r="B43" s="64"/>
      <c r="C43" s="64"/>
      <c r="D43" s="65"/>
      <c r="E43" s="17"/>
      <c r="F43" s="17"/>
      <c r="G43" s="62"/>
      <c r="H43" s="63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66" t="s">
        <v>20</v>
      </c>
      <c r="B44" s="4"/>
      <c r="C44" s="4"/>
      <c r="D44" s="4"/>
      <c r="E44" s="4"/>
      <c r="F44" s="5"/>
      <c r="G44" s="67"/>
      <c r="H44" s="68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69" t="s">
        <v>21</v>
      </c>
      <c r="B45" s="4"/>
      <c r="C45" s="4"/>
      <c r="D45" s="5"/>
      <c r="E45" s="9" t="s">
        <v>15</v>
      </c>
      <c r="F45" s="70">
        <f>sum((G37+G41+G40+G42+G43)*G45)</f>
        <v>77</v>
      </c>
      <c r="G45" s="71">
        <v>1.0</v>
      </c>
      <c r="H45" s="72">
        <f>F45*H37</f>
        <v>693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" t="s">
        <v>29</v>
      </c>
      <c r="B47" s="4"/>
      <c r="C47" s="4"/>
      <c r="D47" s="4"/>
      <c r="E47" s="4"/>
      <c r="F47" s="4"/>
      <c r="G47" s="79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 t="s">
        <v>1</v>
      </c>
      <c r="B48" s="9" t="s">
        <v>2</v>
      </c>
      <c r="C48" s="9" t="s">
        <v>3</v>
      </c>
      <c r="D48" s="9" t="s">
        <v>4</v>
      </c>
      <c r="E48" s="75" t="s">
        <v>5</v>
      </c>
      <c r="F48" s="9" t="s">
        <v>6</v>
      </c>
      <c r="G48" s="80" t="s">
        <v>7</v>
      </c>
      <c r="H48" s="80" t="s">
        <v>8</v>
      </c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2">
        <v>7.0</v>
      </c>
      <c r="B49" s="13">
        <v>4.0</v>
      </c>
      <c r="C49" s="13">
        <v>10.0</v>
      </c>
      <c r="D49" s="13">
        <v>6.0</v>
      </c>
      <c r="E49" s="81">
        <v>6.0</v>
      </c>
      <c r="F49" s="15">
        <v>2.0</v>
      </c>
      <c r="G49" s="16"/>
      <c r="H49" s="16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9">
        <f>A49</f>
        <v>7</v>
      </c>
      <c r="B50" s="20">
        <f t="shared" ref="B50:E50" si="4">10-B49</f>
        <v>6</v>
      </c>
      <c r="C50" s="20">
        <f t="shared" si="4"/>
        <v>0</v>
      </c>
      <c r="D50" s="20">
        <f t="shared" si="4"/>
        <v>4</v>
      </c>
      <c r="E50" s="21">
        <f t="shared" si="4"/>
        <v>4</v>
      </c>
      <c r="F50" s="22">
        <f>F49</f>
        <v>2</v>
      </c>
      <c r="G50" s="23"/>
      <c r="H50" s="24"/>
      <c r="I50" s="2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7">
        <f>A50*G51</f>
        <v>7</v>
      </c>
      <c r="B51" s="28">
        <f>B50*G51</f>
        <v>6</v>
      </c>
      <c r="C51" s="28">
        <f>C50*G51</f>
        <v>0</v>
      </c>
      <c r="D51" s="28">
        <f>D50*G51</f>
        <v>4</v>
      </c>
      <c r="E51" s="28">
        <f>E50*G51</f>
        <v>4</v>
      </c>
      <c r="F51" s="29">
        <f>F50*G51</f>
        <v>2</v>
      </c>
      <c r="G51" s="30">
        <v>1.0</v>
      </c>
      <c r="H51" s="31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>
        <f>A51*2</f>
        <v>14</v>
      </c>
      <c r="B52" s="34">
        <f>B51*1</f>
        <v>6</v>
      </c>
      <c r="C52" s="34">
        <f>C51*1.5</f>
        <v>0</v>
      </c>
      <c r="D52" s="34">
        <f>D51*4</f>
        <v>16</v>
      </c>
      <c r="E52" s="34">
        <f>E51*2</f>
        <v>8</v>
      </c>
      <c r="F52" s="35">
        <f>F51*5</f>
        <v>10</v>
      </c>
      <c r="G52" s="36">
        <f>sum(A52:F52)</f>
        <v>54</v>
      </c>
      <c r="H52" s="37">
        <v>9.0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9"/>
      <c r="B53" s="40"/>
      <c r="C53" s="40"/>
      <c r="D53" s="40"/>
      <c r="E53" s="40"/>
      <c r="F53" s="40"/>
      <c r="G53" s="41"/>
      <c r="H53" s="42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5"/>
      <c r="B54" s="45" t="s">
        <v>10</v>
      </c>
      <c r="C54" s="45" t="s">
        <v>10</v>
      </c>
      <c r="D54" s="45" t="s">
        <v>11</v>
      </c>
      <c r="E54" s="45" t="s">
        <v>12</v>
      </c>
      <c r="F54" s="45" t="s">
        <v>13</v>
      </c>
      <c r="G54" s="82" t="s">
        <v>14</v>
      </c>
      <c r="H54" s="47" t="s">
        <v>15</v>
      </c>
      <c r="I54" s="48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8"/>
    </row>
    <row r="55">
      <c r="A55" s="76" t="s">
        <v>30</v>
      </c>
      <c r="B55" s="50"/>
      <c r="C55" s="51" t="s">
        <v>17</v>
      </c>
      <c r="D55" s="51">
        <v>3.0</v>
      </c>
      <c r="E55" s="51">
        <v>1.0</v>
      </c>
      <c r="F55" s="52">
        <v>1.0</v>
      </c>
      <c r="G55" s="83">
        <v>9.0</v>
      </c>
      <c r="H55" s="54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4"/>
      <c r="C56" s="77" t="s">
        <v>31</v>
      </c>
      <c r="F56" s="78"/>
      <c r="G56" s="58">
        <v>2.0</v>
      </c>
      <c r="H56" s="59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6"/>
      <c r="B57" s="85"/>
      <c r="C57" s="51" t="s">
        <v>32</v>
      </c>
      <c r="D57" s="50"/>
      <c r="E57" s="50"/>
      <c r="F57" s="44"/>
      <c r="G57" s="53">
        <v>6.0</v>
      </c>
      <c r="H57" s="63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6"/>
      <c r="B58" s="87"/>
      <c r="C58" s="87"/>
      <c r="D58" s="87"/>
      <c r="E58" s="87"/>
      <c r="F58" s="88"/>
      <c r="G58" s="53"/>
      <c r="H58" s="63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89" t="s">
        <v>20</v>
      </c>
      <c r="B59" s="40"/>
      <c r="C59" s="40"/>
      <c r="D59" s="40"/>
      <c r="E59" s="40"/>
      <c r="F59" s="57"/>
      <c r="G59" s="90"/>
      <c r="H59" s="68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91" t="s">
        <v>21</v>
      </c>
      <c r="B60" s="40"/>
      <c r="C60" s="40"/>
      <c r="D60" s="57"/>
      <c r="E60" s="92" t="s">
        <v>15</v>
      </c>
      <c r="F60" s="70">
        <f>sum((G52+G56+G55+G57+G58)*G60)</f>
        <v>71</v>
      </c>
      <c r="G60" s="93">
        <v>1.0</v>
      </c>
      <c r="H60" s="72">
        <f>F60*H52</f>
        <v>639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" t="s">
        <v>33</v>
      </c>
      <c r="B62" s="4"/>
      <c r="C62" s="4"/>
      <c r="D62" s="4"/>
      <c r="E62" s="4"/>
      <c r="F62" s="5"/>
      <c r="G62" s="6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 t="s">
        <v>1</v>
      </c>
      <c r="B63" s="9" t="s">
        <v>2</v>
      </c>
      <c r="C63" s="9" t="s">
        <v>3</v>
      </c>
      <c r="D63" s="9" t="s">
        <v>4</v>
      </c>
      <c r="E63" s="75" t="s">
        <v>5</v>
      </c>
      <c r="F63" s="9" t="s">
        <v>6</v>
      </c>
      <c r="G63" s="10" t="s">
        <v>7</v>
      </c>
      <c r="H63" s="10" t="s">
        <v>8</v>
      </c>
      <c r="I63" s="1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2">
        <v>7.0</v>
      </c>
      <c r="B64" s="13">
        <v>8.0</v>
      </c>
      <c r="C64" s="13">
        <v>5.0</v>
      </c>
      <c r="D64" s="13">
        <v>6.0</v>
      </c>
      <c r="E64" s="81">
        <v>6.0</v>
      </c>
      <c r="F64" s="15">
        <v>2.0</v>
      </c>
      <c r="G64" s="16"/>
      <c r="H64" s="16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9">
        <f>A64</f>
        <v>7</v>
      </c>
      <c r="B65" s="20">
        <f t="shared" ref="B65:E65" si="5">10-B64</f>
        <v>2</v>
      </c>
      <c r="C65" s="20">
        <f t="shared" si="5"/>
        <v>5</v>
      </c>
      <c r="D65" s="20">
        <f t="shared" si="5"/>
        <v>4</v>
      </c>
      <c r="E65" s="21">
        <f t="shared" si="5"/>
        <v>4</v>
      </c>
      <c r="F65" s="22">
        <f>F64</f>
        <v>2</v>
      </c>
      <c r="G65" s="23"/>
      <c r="H65" s="24"/>
      <c r="I65" s="25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7">
        <f>A65*G66</f>
        <v>7</v>
      </c>
      <c r="B66" s="28">
        <f>B65*G66</f>
        <v>2</v>
      </c>
      <c r="C66" s="28">
        <f>C65*G66</f>
        <v>5</v>
      </c>
      <c r="D66" s="28">
        <f>D65*G66</f>
        <v>4</v>
      </c>
      <c r="E66" s="28">
        <f>E65*G66</f>
        <v>4</v>
      </c>
      <c r="F66" s="29">
        <f>F65*G66</f>
        <v>2</v>
      </c>
      <c r="G66" s="30">
        <v>1.0</v>
      </c>
      <c r="H66" s="31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3">
        <f>A66*2</f>
        <v>14</v>
      </c>
      <c r="B67" s="34">
        <f>B66*1</f>
        <v>2</v>
      </c>
      <c r="C67" s="34">
        <f>C66*1.5</f>
        <v>7.5</v>
      </c>
      <c r="D67" s="34">
        <f>D66*4</f>
        <v>16</v>
      </c>
      <c r="E67" s="34">
        <f>E66*2</f>
        <v>8</v>
      </c>
      <c r="F67" s="35">
        <f>F66*5</f>
        <v>10</v>
      </c>
      <c r="G67" s="36">
        <f>sum(A67:F67)</f>
        <v>57.5</v>
      </c>
      <c r="H67" s="37">
        <v>9.0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94"/>
      <c r="B68" s="94"/>
      <c r="C68" s="95"/>
      <c r="D68" s="95"/>
      <c r="E68" s="95"/>
      <c r="F68" s="95"/>
      <c r="G68" s="96"/>
      <c r="H68" s="97"/>
      <c r="I68" s="48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8"/>
    </row>
    <row r="69">
      <c r="A69" s="66" t="s">
        <v>9</v>
      </c>
      <c r="B69" s="5"/>
      <c r="C69" s="98" t="s">
        <v>10</v>
      </c>
      <c r="D69" s="98" t="s">
        <v>11</v>
      </c>
      <c r="E69" s="98" t="s">
        <v>12</v>
      </c>
      <c r="F69" s="98" t="s">
        <v>13</v>
      </c>
      <c r="G69" s="82" t="s">
        <v>14</v>
      </c>
      <c r="H69" s="47" t="s">
        <v>15</v>
      </c>
      <c r="I69" s="48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8"/>
    </row>
    <row r="70">
      <c r="A70" s="85" t="s">
        <v>34</v>
      </c>
      <c r="B70" s="50"/>
      <c r="C70" s="51" t="s">
        <v>35</v>
      </c>
      <c r="D70" s="51">
        <v>3.0</v>
      </c>
      <c r="E70" s="51">
        <v>1.0</v>
      </c>
      <c r="F70" s="51" t="s">
        <v>18</v>
      </c>
      <c r="G70" s="54">
        <v>14.0</v>
      </c>
      <c r="H70" s="99"/>
      <c r="I70" s="1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0"/>
      <c r="B71" s="40"/>
      <c r="C71" s="56" t="s">
        <v>36</v>
      </c>
      <c r="D71" s="40"/>
      <c r="E71" s="40"/>
      <c r="F71" s="57"/>
      <c r="G71" s="100">
        <v>4.0</v>
      </c>
      <c r="H71" s="101"/>
      <c r="I71" s="1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3" t="s">
        <v>37</v>
      </c>
      <c r="B72" s="4"/>
      <c r="C72" s="74" t="s">
        <v>17</v>
      </c>
      <c r="D72" s="74">
        <v>2.0</v>
      </c>
      <c r="E72" s="74">
        <v>1.0</v>
      </c>
      <c r="F72" s="102"/>
      <c r="G72" s="63">
        <v>7.0</v>
      </c>
      <c r="H72" s="103"/>
      <c r="I72" s="1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7"/>
      <c r="B73" s="87"/>
      <c r="C73" s="87"/>
      <c r="D73" s="104"/>
      <c r="E73" s="105"/>
      <c r="F73" s="105"/>
      <c r="G73" s="63"/>
      <c r="H73" s="103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66" t="s">
        <v>38</v>
      </c>
      <c r="B74" s="4"/>
      <c r="C74" s="4"/>
      <c r="D74" s="4"/>
      <c r="E74" s="4"/>
      <c r="F74" s="5"/>
      <c r="G74" s="106"/>
      <c r="H74" s="107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91" t="s">
        <v>21</v>
      </c>
      <c r="B75" s="40"/>
      <c r="C75" s="40"/>
      <c r="D75" s="57"/>
      <c r="E75" s="92" t="s">
        <v>15</v>
      </c>
      <c r="F75" s="70">
        <f>sum((G67+G71+G70+G72+G73)*G75)</f>
        <v>82.5</v>
      </c>
      <c r="G75" s="93">
        <v>1.0</v>
      </c>
      <c r="H75" s="72">
        <f>F75*H67</f>
        <v>742.5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" t="s">
        <v>39</v>
      </c>
      <c r="B77" s="4"/>
      <c r="C77" s="4"/>
      <c r="D77" s="4"/>
      <c r="E77" s="4"/>
      <c r="F77" s="5"/>
      <c r="G77" s="6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 t="s">
        <v>1</v>
      </c>
      <c r="B78" s="9" t="s">
        <v>2</v>
      </c>
      <c r="C78" s="9" t="s">
        <v>3</v>
      </c>
      <c r="D78" s="9" t="s">
        <v>4</v>
      </c>
      <c r="E78" s="75" t="s">
        <v>5</v>
      </c>
      <c r="F78" s="9" t="s">
        <v>6</v>
      </c>
      <c r="G78" s="10"/>
      <c r="H78" s="10" t="s">
        <v>8</v>
      </c>
      <c r="I78" s="1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2">
        <v>10.0</v>
      </c>
      <c r="B79" s="13">
        <v>5.0</v>
      </c>
      <c r="C79" s="13">
        <v>6.0</v>
      </c>
      <c r="D79" s="13">
        <v>6.0</v>
      </c>
      <c r="E79" s="14">
        <v>5.0</v>
      </c>
      <c r="F79" s="15">
        <v>2.0</v>
      </c>
      <c r="G79" s="16"/>
      <c r="H79" s="16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9">
        <f>A79</f>
        <v>10</v>
      </c>
      <c r="B80" s="20">
        <f t="shared" ref="B80:E80" si="6">10-B79</f>
        <v>5</v>
      </c>
      <c r="C80" s="20">
        <f t="shared" si="6"/>
        <v>4</v>
      </c>
      <c r="D80" s="20">
        <f t="shared" si="6"/>
        <v>4</v>
      </c>
      <c r="E80" s="21">
        <f t="shared" si="6"/>
        <v>5</v>
      </c>
      <c r="F80" s="22">
        <f>F79</f>
        <v>2</v>
      </c>
      <c r="G80" s="23"/>
      <c r="H80" s="24"/>
      <c r="I80" s="25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7">
        <f>A80*G81</f>
        <v>10</v>
      </c>
      <c r="B81" s="28">
        <f>B80*G81</f>
        <v>5</v>
      </c>
      <c r="C81" s="28">
        <f>C80*G81</f>
        <v>4</v>
      </c>
      <c r="D81" s="28">
        <f>D80*G81</f>
        <v>4</v>
      </c>
      <c r="E81" s="28">
        <f>E80*G81</f>
        <v>5</v>
      </c>
      <c r="F81" s="29">
        <f>F80*G81</f>
        <v>2</v>
      </c>
      <c r="G81" s="30">
        <v>1.0</v>
      </c>
      <c r="H81" s="31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3">
        <f>A81*2</f>
        <v>20</v>
      </c>
      <c r="B82" s="34">
        <f>B81*1</f>
        <v>5</v>
      </c>
      <c r="C82" s="34">
        <f>C81*1.5</f>
        <v>6</v>
      </c>
      <c r="D82" s="34">
        <f>D81*4</f>
        <v>16</v>
      </c>
      <c r="E82" s="34">
        <f>E81*2</f>
        <v>10</v>
      </c>
      <c r="F82" s="35">
        <f>F81*5</f>
        <v>10</v>
      </c>
      <c r="G82" s="36">
        <f>sum(A82:F82)</f>
        <v>67</v>
      </c>
      <c r="H82" s="37">
        <v>9.0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9"/>
      <c r="B83" s="40"/>
      <c r="C83" s="40"/>
      <c r="D83" s="40"/>
      <c r="E83" s="40"/>
      <c r="F83" s="40"/>
      <c r="G83" s="41"/>
      <c r="H83" s="42"/>
      <c r="I83" s="1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3" t="s">
        <v>9</v>
      </c>
      <c r="B84" s="44"/>
      <c r="C84" s="45" t="s">
        <v>10</v>
      </c>
      <c r="D84" s="45" t="s">
        <v>11</v>
      </c>
      <c r="E84" s="45" t="s">
        <v>12</v>
      </c>
      <c r="F84" s="45" t="s">
        <v>13</v>
      </c>
      <c r="G84" s="82" t="s">
        <v>14</v>
      </c>
      <c r="H84" s="47" t="s">
        <v>15</v>
      </c>
      <c r="I84" s="48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8"/>
    </row>
    <row r="85">
      <c r="A85" s="12" t="s">
        <v>34</v>
      </c>
      <c r="B85" s="50"/>
      <c r="C85" s="51" t="s">
        <v>35</v>
      </c>
      <c r="D85" s="51">
        <v>3.0</v>
      </c>
      <c r="E85" s="51">
        <v>1.0</v>
      </c>
      <c r="F85" s="52" t="s">
        <v>18</v>
      </c>
      <c r="G85" s="83">
        <v>12.0</v>
      </c>
      <c r="H85" s="54"/>
      <c r="I85" s="1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5"/>
      <c r="B86" s="40"/>
      <c r="C86" s="56"/>
      <c r="D86" s="56"/>
      <c r="E86" s="56"/>
      <c r="F86" s="108"/>
      <c r="G86" s="58"/>
      <c r="H86" s="59"/>
      <c r="I86" s="1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0" t="s">
        <v>40</v>
      </c>
      <c r="C87" s="77" t="s">
        <v>17</v>
      </c>
      <c r="D87" s="77">
        <v>4.0</v>
      </c>
      <c r="E87" s="77">
        <v>1.0</v>
      </c>
      <c r="F87" s="109" t="s">
        <v>18</v>
      </c>
      <c r="G87" s="53">
        <v>11.0</v>
      </c>
      <c r="H87" s="63"/>
      <c r="I87" s="1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5"/>
      <c r="B88" s="40"/>
      <c r="C88" s="56" t="s">
        <v>23</v>
      </c>
      <c r="D88" s="40"/>
      <c r="E88" s="40"/>
      <c r="F88" s="57"/>
      <c r="G88" s="58">
        <v>2.0</v>
      </c>
      <c r="H88" s="59"/>
      <c r="I88" s="1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6" t="s">
        <v>41</v>
      </c>
      <c r="B89" s="4"/>
      <c r="C89" s="4"/>
      <c r="D89" s="4"/>
      <c r="E89" s="4"/>
      <c r="F89" s="5"/>
      <c r="G89" s="67"/>
      <c r="H89" s="68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91" t="s">
        <v>42</v>
      </c>
      <c r="B90" s="40"/>
      <c r="C90" s="40"/>
      <c r="D90" s="57"/>
      <c r="E90" s="92" t="s">
        <v>15</v>
      </c>
      <c r="F90" s="70">
        <f>sum((G82+G86+G85+G87+G88)*G90)</f>
        <v>92</v>
      </c>
      <c r="G90" s="71">
        <v>1.0</v>
      </c>
      <c r="H90" s="110">
        <f>F90*H82</f>
        <v>828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</sheetData>
  <mergeCells count="48">
    <mergeCell ref="A2:F2"/>
    <mergeCell ref="A8:F8"/>
    <mergeCell ref="A9:B9"/>
    <mergeCell ref="A10:B11"/>
    <mergeCell ref="C11:F11"/>
    <mergeCell ref="B12:F12"/>
    <mergeCell ref="A14:F14"/>
    <mergeCell ref="A15:D15"/>
    <mergeCell ref="A17:F17"/>
    <mergeCell ref="A23:F23"/>
    <mergeCell ref="A24:B24"/>
    <mergeCell ref="A25:B26"/>
    <mergeCell ref="C26:F26"/>
    <mergeCell ref="A27:B27"/>
    <mergeCell ref="A40:B41"/>
    <mergeCell ref="A42:B42"/>
    <mergeCell ref="C27:F27"/>
    <mergeCell ref="A29:F29"/>
    <mergeCell ref="A30:D30"/>
    <mergeCell ref="A32:F32"/>
    <mergeCell ref="A38:F38"/>
    <mergeCell ref="A39:B39"/>
    <mergeCell ref="C41:F41"/>
    <mergeCell ref="C42:F42"/>
    <mergeCell ref="A44:F44"/>
    <mergeCell ref="A45:D45"/>
    <mergeCell ref="A47:F47"/>
    <mergeCell ref="A53:F53"/>
    <mergeCell ref="A55:B56"/>
    <mergeCell ref="C56:F56"/>
    <mergeCell ref="C57:F57"/>
    <mergeCell ref="A59:F59"/>
    <mergeCell ref="A60:D60"/>
    <mergeCell ref="A62:F62"/>
    <mergeCell ref="A69:B69"/>
    <mergeCell ref="A70:B71"/>
    <mergeCell ref="C71:F71"/>
    <mergeCell ref="A87:B88"/>
    <mergeCell ref="C88:F88"/>
    <mergeCell ref="A89:F89"/>
    <mergeCell ref="A90:D90"/>
    <mergeCell ref="A72:B72"/>
    <mergeCell ref="A74:F74"/>
    <mergeCell ref="A75:D75"/>
    <mergeCell ref="A77:F77"/>
    <mergeCell ref="A83:F83"/>
    <mergeCell ref="A84:B84"/>
    <mergeCell ref="A85:B86"/>
  </mergeCells>
  <printOptions horizontalCentered="1"/>
  <pageMargins bottom="0.75" footer="0.0" header="0.0" left="0.7" right="0.7" top="0.75"/>
  <pageSetup paperSize="9" orientation="portrait" pageOrder="overThenDown"/>
  <rowBreaks count="1" manualBreakCount="1">
    <brk id="45" man="1"/>
  </rowBreaks>
  <colBreaks count="2" manualBreakCount="2">
    <brk man="1"/>
    <brk id="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43</v>
      </c>
      <c r="B1" s="112" t="s">
        <v>10</v>
      </c>
      <c r="C1" s="112" t="s">
        <v>44</v>
      </c>
      <c r="D1" s="112" t="s">
        <v>12</v>
      </c>
      <c r="E1" s="112" t="s">
        <v>45</v>
      </c>
      <c r="F1" s="112" t="s">
        <v>46</v>
      </c>
    </row>
    <row r="2">
      <c r="A2" s="113" t="s">
        <v>16</v>
      </c>
      <c r="B2" s="114">
        <v>0.0</v>
      </c>
      <c r="C2" s="114">
        <v>4.0</v>
      </c>
      <c r="D2" s="114">
        <v>1.0</v>
      </c>
      <c r="E2" s="114">
        <v>0.0</v>
      </c>
      <c r="F2" s="115"/>
    </row>
    <row r="3">
      <c r="A3" s="115"/>
      <c r="B3" s="116">
        <f>B2/4</f>
        <v>0</v>
      </c>
      <c r="C3" s="116">
        <f>C2*2</f>
        <v>8</v>
      </c>
      <c r="D3" s="116">
        <f>D2*3</f>
        <v>3</v>
      </c>
      <c r="E3" s="116">
        <f>((E2*2)*(C2*D2))</f>
        <v>0</v>
      </c>
      <c r="F3" s="116">
        <f>SUM(B3:E3)</f>
        <v>11</v>
      </c>
    </row>
    <row r="5">
      <c r="A5" s="111" t="s">
        <v>43</v>
      </c>
      <c r="B5" s="112" t="s">
        <v>10</v>
      </c>
      <c r="C5" s="112" t="s">
        <v>44</v>
      </c>
      <c r="D5" s="112" t="s">
        <v>12</v>
      </c>
      <c r="E5" s="112" t="s">
        <v>45</v>
      </c>
      <c r="F5" s="112" t="s">
        <v>46</v>
      </c>
    </row>
    <row r="6">
      <c r="A6" s="113" t="s">
        <v>27</v>
      </c>
      <c r="B6" s="114">
        <v>0.0</v>
      </c>
      <c r="C6" s="114">
        <v>2.0</v>
      </c>
      <c r="D6" s="114">
        <v>1.0</v>
      </c>
      <c r="E6" s="114">
        <v>2.0</v>
      </c>
      <c r="F6" s="115"/>
    </row>
    <row r="7">
      <c r="A7" s="115"/>
      <c r="B7" s="116">
        <f>B6/4</f>
        <v>0</v>
      </c>
      <c r="C7" s="116">
        <f>C6*2</f>
        <v>4</v>
      </c>
      <c r="D7" s="116">
        <f>D6*3</f>
        <v>3</v>
      </c>
      <c r="E7" s="116">
        <f>((E6*2)*(C6*D6))</f>
        <v>8</v>
      </c>
      <c r="F7" s="116">
        <f>SUM(B7:E7)</f>
        <v>15</v>
      </c>
    </row>
    <row r="9">
      <c r="A9" s="111" t="s">
        <v>43</v>
      </c>
      <c r="B9" s="112" t="s">
        <v>10</v>
      </c>
      <c r="C9" s="112" t="s">
        <v>44</v>
      </c>
      <c r="D9" s="112" t="s">
        <v>12</v>
      </c>
      <c r="E9" s="112" t="s">
        <v>45</v>
      </c>
      <c r="F9" s="112" t="s">
        <v>46</v>
      </c>
    </row>
    <row r="10">
      <c r="A10" s="113" t="s">
        <v>30</v>
      </c>
      <c r="B10" s="114">
        <v>0.0</v>
      </c>
      <c r="C10" s="114">
        <v>3.0</v>
      </c>
      <c r="D10" s="114">
        <v>1.0</v>
      </c>
      <c r="E10" s="114">
        <v>0.0</v>
      </c>
      <c r="F10" s="115"/>
    </row>
    <row r="11">
      <c r="A11" s="115"/>
      <c r="B11" s="116">
        <f>B10/4</f>
        <v>0</v>
      </c>
      <c r="C11" s="116">
        <f>C10*2</f>
        <v>6</v>
      </c>
      <c r="D11" s="116">
        <f>D10*3</f>
        <v>3</v>
      </c>
      <c r="E11" s="116">
        <f>((E10*2)*(C10*D10))</f>
        <v>0</v>
      </c>
      <c r="F11" s="116">
        <f>SUM(B11:E11)</f>
        <v>9</v>
      </c>
    </row>
    <row r="13">
      <c r="A13" s="111" t="s">
        <v>43</v>
      </c>
      <c r="B13" s="112" t="s">
        <v>10</v>
      </c>
      <c r="C13" s="112" t="s">
        <v>44</v>
      </c>
      <c r="D13" s="112" t="s">
        <v>12</v>
      </c>
      <c r="E13" s="112" t="s">
        <v>45</v>
      </c>
      <c r="F13" s="112" t="s">
        <v>46</v>
      </c>
    </row>
    <row r="14">
      <c r="A14" s="113" t="s">
        <v>47</v>
      </c>
      <c r="B14" s="114">
        <v>20.0</v>
      </c>
      <c r="C14" s="114">
        <v>3.0</v>
      </c>
      <c r="D14" s="114">
        <v>1.0</v>
      </c>
      <c r="E14" s="114">
        <v>0.0</v>
      </c>
      <c r="F14" s="115"/>
    </row>
    <row r="15">
      <c r="A15" s="115"/>
      <c r="B15" s="116">
        <f>B14/4</f>
        <v>5</v>
      </c>
      <c r="C15" s="116">
        <f>C14*2</f>
        <v>6</v>
      </c>
      <c r="D15" s="116">
        <f>D14*3</f>
        <v>3</v>
      </c>
      <c r="E15" s="116">
        <f>((E14*2)*(C14*D14))</f>
        <v>0</v>
      </c>
      <c r="F15" s="116">
        <f>SUM(B15:E15)</f>
        <v>14</v>
      </c>
    </row>
    <row r="17">
      <c r="A17" s="111" t="s">
        <v>43</v>
      </c>
      <c r="B17" s="112" t="s">
        <v>10</v>
      </c>
      <c r="C17" s="112" t="s">
        <v>44</v>
      </c>
      <c r="D17" s="112" t="s">
        <v>12</v>
      </c>
      <c r="E17" s="112" t="s">
        <v>45</v>
      </c>
      <c r="F17" s="112" t="s">
        <v>46</v>
      </c>
    </row>
    <row r="18">
      <c r="A18" s="113" t="s">
        <v>48</v>
      </c>
      <c r="B18" s="114">
        <v>0.0</v>
      </c>
      <c r="C18" s="114">
        <v>2.0</v>
      </c>
      <c r="D18" s="114">
        <v>1.0</v>
      </c>
      <c r="E18" s="114">
        <v>0.0</v>
      </c>
      <c r="F18" s="115"/>
    </row>
    <row r="19">
      <c r="A19" s="115"/>
      <c r="B19" s="116">
        <f>B18/4</f>
        <v>0</v>
      </c>
      <c r="C19" s="116">
        <f>C18*2</f>
        <v>4</v>
      </c>
      <c r="D19" s="116">
        <f>D18*3</f>
        <v>3</v>
      </c>
      <c r="E19" s="116">
        <f>((E18*2)*(C18*D18))</f>
        <v>0</v>
      </c>
      <c r="F19" s="116">
        <f>SUM(B19:E19)</f>
        <v>7</v>
      </c>
    </row>
    <row r="21">
      <c r="A21" s="111" t="s">
        <v>43</v>
      </c>
      <c r="B21" s="112" t="s">
        <v>10</v>
      </c>
      <c r="C21" s="112" t="s">
        <v>44</v>
      </c>
      <c r="D21" s="112" t="s">
        <v>12</v>
      </c>
      <c r="E21" s="112" t="s">
        <v>45</v>
      </c>
      <c r="F21" s="112" t="s">
        <v>46</v>
      </c>
    </row>
    <row r="22">
      <c r="A22" s="113" t="s">
        <v>47</v>
      </c>
      <c r="B22" s="114">
        <v>12.0</v>
      </c>
      <c r="C22" s="114">
        <v>3.0</v>
      </c>
      <c r="D22" s="114">
        <v>1.0</v>
      </c>
      <c r="E22" s="114">
        <v>0.0</v>
      </c>
      <c r="F22" s="115"/>
    </row>
    <row r="23">
      <c r="A23" s="115"/>
      <c r="B23" s="116">
        <f>B22/4</f>
        <v>3</v>
      </c>
      <c r="C23" s="116">
        <f>C22*2</f>
        <v>6</v>
      </c>
      <c r="D23" s="116">
        <f>D22*3</f>
        <v>3</v>
      </c>
      <c r="E23" s="116">
        <f>((E22*2)*(C22*D22))</f>
        <v>0</v>
      </c>
      <c r="F23" s="116">
        <f>SUM(B23:E23)</f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8.25"/>
    <col customWidth="1" min="4" max="4" width="13.75"/>
  </cols>
  <sheetData>
    <row r="1">
      <c r="A1" s="117" t="s">
        <v>49</v>
      </c>
      <c r="B1" s="118" t="s">
        <v>50</v>
      </c>
      <c r="C1" s="118" t="s">
        <v>51</v>
      </c>
      <c r="D1" s="118" t="s">
        <v>52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17" t="s">
        <v>53</v>
      </c>
      <c r="B2" s="120">
        <v>0.3</v>
      </c>
      <c r="C2" s="121" t="s">
        <v>54</v>
      </c>
      <c r="D2" s="118" t="s">
        <v>55</v>
      </c>
    </row>
    <row r="3">
      <c r="A3" s="117" t="s">
        <v>56</v>
      </c>
      <c r="B3" s="120">
        <v>0.4</v>
      </c>
      <c r="C3" s="121" t="s">
        <v>57</v>
      </c>
      <c r="D3" s="118" t="s">
        <v>58</v>
      </c>
    </row>
    <row r="4">
      <c r="A4" s="117" t="s">
        <v>59</v>
      </c>
      <c r="B4" s="120">
        <v>0.5</v>
      </c>
      <c r="C4" s="121" t="s">
        <v>60</v>
      </c>
      <c r="D4" s="118" t="s">
        <v>61</v>
      </c>
    </row>
    <row r="5">
      <c r="A5" s="117" t="s">
        <v>62</v>
      </c>
      <c r="B5" s="120">
        <v>0.6</v>
      </c>
      <c r="C5" s="121" t="s">
        <v>63</v>
      </c>
      <c r="D5" s="118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0.13"/>
    <col customWidth="1" min="3" max="3" width="20.25"/>
    <col customWidth="1" min="4" max="4" width="9.25"/>
  </cols>
  <sheetData>
    <row r="1">
      <c r="A1" s="122" t="s">
        <v>65</v>
      </c>
      <c r="B1" s="122" t="s">
        <v>66</v>
      </c>
      <c r="C1" s="122" t="s">
        <v>67</v>
      </c>
      <c r="D1" s="122" t="s">
        <v>68</v>
      </c>
    </row>
    <row r="2">
      <c r="A2" s="117" t="s">
        <v>69</v>
      </c>
      <c r="B2" s="122" t="s">
        <v>70</v>
      </c>
      <c r="C2" s="122" t="s">
        <v>71</v>
      </c>
      <c r="D2" s="117" t="s">
        <v>72</v>
      </c>
    </row>
    <row r="3">
      <c r="A3" s="117" t="s">
        <v>73</v>
      </c>
      <c r="B3" s="122" t="s">
        <v>74</v>
      </c>
      <c r="C3" s="122" t="s">
        <v>75</v>
      </c>
      <c r="D3" s="117" t="s">
        <v>76</v>
      </c>
    </row>
    <row r="4">
      <c r="A4" s="117" t="s">
        <v>4</v>
      </c>
      <c r="B4" s="122" t="s">
        <v>77</v>
      </c>
      <c r="C4" s="122" t="s">
        <v>78</v>
      </c>
      <c r="D4" s="117" t="s">
        <v>79</v>
      </c>
    </row>
    <row r="5">
      <c r="A5" s="117" t="s">
        <v>80</v>
      </c>
      <c r="B5" s="122" t="s">
        <v>81</v>
      </c>
      <c r="C5" s="122" t="s">
        <v>82</v>
      </c>
      <c r="D5" s="117" t="s">
        <v>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C1" s="123" t="s">
        <v>84</v>
      </c>
      <c r="D1" s="124">
        <f>SUM(D4:D9)</f>
        <v>2874</v>
      </c>
      <c r="E1" s="125">
        <f>D1*0.25</f>
        <v>718.5</v>
      </c>
    </row>
    <row r="2">
      <c r="A2" s="126"/>
      <c r="B2" s="126"/>
      <c r="C2" s="126"/>
    </row>
    <row r="3">
      <c r="A3" s="123" t="s">
        <v>9</v>
      </c>
      <c r="B3" s="127" t="s">
        <v>85</v>
      </c>
      <c r="C3" s="127" t="s">
        <v>8</v>
      </c>
      <c r="D3" s="127" t="s">
        <v>15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>
      <c r="A4" s="126" t="str">
        <f>Units!A2</f>
        <v>Orc Light Infantry</v>
      </c>
      <c r="B4" s="128">
        <f>Units!F15</f>
        <v>73</v>
      </c>
      <c r="C4" s="126">
        <v>6.0</v>
      </c>
      <c r="D4" s="129">
        <f t="shared" ref="D4:D9" si="1">B4*C4</f>
        <v>438</v>
      </c>
    </row>
    <row r="5">
      <c r="A5" s="126" t="str">
        <f>Units!A17</f>
        <v>Orc Heavy Infantry</v>
      </c>
      <c r="B5" s="128">
        <f>Units!F30</f>
        <v>74</v>
      </c>
      <c r="C5" s="126">
        <v>6.0</v>
      </c>
      <c r="D5" s="129">
        <f t="shared" si="1"/>
        <v>444</v>
      </c>
    </row>
    <row r="6">
      <c r="A6" s="125" t="str">
        <f>Units!A32</f>
        <v>Orc Axes</v>
      </c>
      <c r="B6" s="129">
        <f>Units!F45</f>
        <v>77</v>
      </c>
      <c r="C6" s="126">
        <v>6.0</v>
      </c>
      <c r="D6" s="129">
        <f t="shared" si="1"/>
        <v>462</v>
      </c>
    </row>
    <row r="7">
      <c r="A7" s="125" t="str">
        <f>Units!A47</f>
        <v>Spear Orcs</v>
      </c>
      <c r="B7" s="129">
        <f>Units!F60</f>
        <v>71</v>
      </c>
      <c r="C7" s="126">
        <v>6.0</v>
      </c>
      <c r="D7" s="129">
        <f t="shared" si="1"/>
        <v>426</v>
      </c>
    </row>
    <row r="8">
      <c r="A8" s="125" t="str">
        <f>Units!A62</f>
        <v>Orc Archers</v>
      </c>
      <c r="B8" s="129">
        <f>Units!F75</f>
        <v>82.5</v>
      </c>
      <c r="C8" s="126">
        <v>0.0</v>
      </c>
      <c r="D8" s="129">
        <f t="shared" si="1"/>
        <v>0</v>
      </c>
    </row>
    <row r="9">
      <c r="A9" s="125" t="str">
        <f>Units!A77</f>
        <v>Orc Warg Rider Skirmishers</v>
      </c>
      <c r="B9" s="129">
        <f>Units!F90</f>
        <v>92</v>
      </c>
      <c r="C9" s="126">
        <v>12.0</v>
      </c>
      <c r="D9" s="129">
        <f t="shared" si="1"/>
        <v>1104</v>
      </c>
    </row>
  </sheetData>
  <drawing r:id="rId1"/>
</worksheet>
</file>